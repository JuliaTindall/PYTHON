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6b4d27a5fe6875/WORK/DATA/proxydata/"/>
    </mc:Choice>
  </mc:AlternateContent>
  <xr:revisionPtr revIDLastSave="4" documentId="11_7731A1A7D2E0BEB2245F0BA06CA04CA86043B3B6" xr6:coauthVersionLast="45" xr6:coauthVersionMax="45" xr10:uidLastSave="{DA7DDCC7-F8FD-407A-BDEB-93FA528A83AB}"/>
  <bookViews>
    <workbookView xWindow="16200" yWindow="4605" windowWidth="21735" windowHeight="15435" xr2:uid="{00000000-000D-0000-FFFF-FFFF00000000}"/>
  </bookViews>
  <sheets>
    <sheet name="t1" sheetId="1" r:id="rId1"/>
    <sheet name="t2" sheetId="2" r:id="rId2"/>
    <sheet name="t3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5" i="3" l="1"/>
  <c r="M14" i="3"/>
  <c r="M13" i="3"/>
  <c r="M12" i="3"/>
  <c r="M11" i="3"/>
  <c r="M10" i="3"/>
  <c r="M8" i="3"/>
  <c r="M7" i="3"/>
  <c r="M6" i="3"/>
  <c r="M5" i="3"/>
  <c r="M4" i="3"/>
  <c r="M3" i="3"/>
  <c r="M15" i="2"/>
  <c r="M14" i="2"/>
  <c r="M13" i="2"/>
  <c r="M12" i="2"/>
  <c r="M11" i="2"/>
  <c r="M10" i="2"/>
  <c r="M8" i="2"/>
  <c r="M7" i="2"/>
  <c r="M6" i="2"/>
  <c r="M5" i="2"/>
  <c r="P8" i="2" s="1"/>
  <c r="M5" i="1"/>
  <c r="P8" i="1" s="1"/>
  <c r="S8" i="1" s="1"/>
  <c r="M6" i="1"/>
  <c r="M7" i="1"/>
  <c r="M8" i="1"/>
  <c r="M10" i="1"/>
  <c r="M11" i="1"/>
  <c r="M12" i="1"/>
  <c r="M13" i="1"/>
  <c r="M14" i="1"/>
  <c r="M15" i="1"/>
  <c r="P8" i="3" l="1"/>
  <c r="P7" i="3"/>
  <c r="P7" i="2"/>
  <c r="P7" i="1"/>
  <c r="S7" i="1" s="1"/>
</calcChain>
</file>

<file path=xl/sharedStrings.xml><?xml version="1.0" encoding="utf-8"?>
<sst xmlns="http://schemas.openxmlformats.org/spreadsheetml/2006/main" count="158" uniqueCount="29">
  <si>
    <t>mean</t>
  </si>
  <si>
    <t>sd</t>
  </si>
  <si>
    <t>n</t>
  </si>
  <si>
    <t>res</t>
  </si>
  <si>
    <t>DSDP610</t>
  </si>
  <si>
    <t>NaN</t>
  </si>
  <si>
    <t>NA</t>
  </si>
  <si>
    <t>Inf</t>
  </si>
  <si>
    <t>U1308</t>
  </si>
  <si>
    <t>U1313</t>
  </si>
  <si>
    <t>DSDP603</t>
  </si>
  <si>
    <t>ODP999</t>
  </si>
  <si>
    <t>DSDP609</t>
  </si>
  <si>
    <t>ODP516</t>
  </si>
  <si>
    <t>ODP1143</t>
  </si>
  <si>
    <t>ODP1241</t>
  </si>
  <si>
    <t>ODP806</t>
  </si>
  <si>
    <t>ODP214</t>
  </si>
  <si>
    <t>ODP709</t>
  </si>
  <si>
    <t>ODP763</t>
  </si>
  <si>
    <t>&gt;</t>
  </si>
  <si>
    <t>original</t>
  </si>
  <si>
    <t>baymag</t>
  </si>
  <si>
    <t>min</t>
  </si>
  <si>
    <t>max</t>
  </si>
  <si>
    <t>t1</t>
  </si>
  <si>
    <t>t2</t>
  </si>
  <si>
    <t>t3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</si>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</sst>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H12" sqref="H12"/>
    </sheetView>
  </sheetViews>
  <sheetFormatPr defaultColWidth="11" defaultRowHeight="15.75" x14ac:dyDescent="0.25"/>
  <sheetData>
    <row r="1" spans="1:19" x14ac:dyDescent="0.25">
      <c r="A1" t="s">
        <v>21</v>
      </c>
      <c r="G1" t="s">
        <v>22</v>
      </c>
    </row>
    <row r="2" spans="1:19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9" x14ac:dyDescent="0.25">
      <c r="A3" t="s">
        <v>4</v>
      </c>
      <c r="B3" t="s">
        <v>5</v>
      </c>
      <c r="C3" t="s">
        <v>6</v>
      </c>
      <c r="D3">
        <v>0</v>
      </c>
      <c r="E3" t="s">
        <v>7</v>
      </c>
      <c r="G3" t="s">
        <v>4</v>
      </c>
      <c r="H3" t="s">
        <v>5</v>
      </c>
      <c r="I3" t="s">
        <v>6</v>
      </c>
      <c r="J3">
        <v>0</v>
      </c>
      <c r="K3" t="s">
        <v>7</v>
      </c>
    </row>
    <row r="4" spans="1:19" x14ac:dyDescent="0.25">
      <c r="A4" t="s">
        <v>8</v>
      </c>
      <c r="B4" t="s">
        <v>5</v>
      </c>
      <c r="C4" t="s">
        <v>6</v>
      </c>
      <c r="D4">
        <v>0</v>
      </c>
      <c r="E4" t="s">
        <v>7</v>
      </c>
      <c r="G4" t="s">
        <v>8</v>
      </c>
      <c r="H4" t="s">
        <v>5</v>
      </c>
      <c r="I4" t="s">
        <v>6</v>
      </c>
      <c r="J4">
        <v>0</v>
      </c>
      <c r="K4" t="s">
        <v>7</v>
      </c>
    </row>
    <row r="5" spans="1:19" x14ac:dyDescent="0.25">
      <c r="A5" t="s">
        <v>9</v>
      </c>
      <c r="B5">
        <v>22.24</v>
      </c>
      <c r="C5">
        <v>0.48270069999999998</v>
      </c>
      <c r="D5">
        <v>5</v>
      </c>
      <c r="E5">
        <v>4</v>
      </c>
      <c r="G5" t="s">
        <v>9</v>
      </c>
      <c r="H5">
        <v>26.99042</v>
      </c>
      <c r="I5">
        <v>0.71680619999999995</v>
      </c>
      <c r="J5">
        <v>5</v>
      </c>
      <c r="K5">
        <v>4</v>
      </c>
      <c r="M5">
        <f t="shared" ref="M5:M15" si="0">H5-B5</f>
        <v>4.7504200000000019</v>
      </c>
    </row>
    <row r="6" spans="1:19" x14ac:dyDescent="0.25">
      <c r="A6" t="s">
        <v>10</v>
      </c>
      <c r="B6">
        <v>20.42727</v>
      </c>
      <c r="C6">
        <v>1.2149821999999999</v>
      </c>
      <c r="D6">
        <v>11</v>
      </c>
      <c r="E6">
        <v>1.818182</v>
      </c>
      <c r="G6" t="s">
        <v>10</v>
      </c>
      <c r="H6">
        <v>25.15746</v>
      </c>
      <c r="I6">
        <v>1.9571741</v>
      </c>
      <c r="J6">
        <v>11</v>
      </c>
      <c r="K6">
        <v>1.818182</v>
      </c>
      <c r="M6">
        <f t="shared" si="0"/>
        <v>4.7301900000000003</v>
      </c>
      <c r="P6" t="s">
        <v>25</v>
      </c>
      <c r="Q6" t="s">
        <v>26</v>
      </c>
      <c r="R6" t="s">
        <v>27</v>
      </c>
      <c r="S6" t="s">
        <v>28</v>
      </c>
    </row>
    <row r="7" spans="1:19" x14ac:dyDescent="0.25">
      <c r="A7" t="s">
        <v>11</v>
      </c>
      <c r="B7">
        <v>24.51333</v>
      </c>
      <c r="C7">
        <v>0.40611989999999998</v>
      </c>
      <c r="D7">
        <v>3</v>
      </c>
      <c r="E7">
        <v>6.6666670000000003</v>
      </c>
      <c r="G7" t="s">
        <v>11</v>
      </c>
      <c r="H7">
        <v>24.04027</v>
      </c>
      <c r="I7">
        <v>0.49295060000000002</v>
      </c>
      <c r="J7">
        <v>3</v>
      </c>
      <c r="K7">
        <v>6.6666670000000003</v>
      </c>
      <c r="M7">
        <f t="shared" si="0"/>
        <v>-0.47306000000000026</v>
      </c>
      <c r="O7" t="s">
        <v>23</v>
      </c>
      <c r="P7">
        <f>MIN(M:M)</f>
        <v>-1.3914172699999998</v>
      </c>
      <c r="Q7">
        <v>-1.0503</v>
      </c>
      <c r="R7">
        <v>-1.0482300000000002</v>
      </c>
      <c r="S7">
        <f>MIN(P7:R7)</f>
        <v>-1.3914172699999998</v>
      </c>
    </row>
    <row r="8" spans="1:19" x14ac:dyDescent="0.25">
      <c r="A8" t="s">
        <v>12</v>
      </c>
      <c r="B8">
        <v>13.85</v>
      </c>
      <c r="C8">
        <v>1.2021647</v>
      </c>
      <c r="D8">
        <v>3</v>
      </c>
      <c r="E8">
        <v>6.6666670000000003</v>
      </c>
      <c r="G8" t="s">
        <v>12</v>
      </c>
      <c r="H8" s="1">
        <v>12.45858273</v>
      </c>
      <c r="I8">
        <v>1.9544963</v>
      </c>
      <c r="J8">
        <v>3</v>
      </c>
      <c r="K8">
        <v>6.6666670000000003</v>
      </c>
      <c r="M8">
        <f t="shared" si="0"/>
        <v>-1.3914172699999998</v>
      </c>
      <c r="O8" t="s">
        <v>24</v>
      </c>
      <c r="P8">
        <f>MAX(M:M)</f>
        <v>4.7504200000000019</v>
      </c>
      <c r="Q8">
        <v>4.6517599999999995</v>
      </c>
      <c r="R8">
        <v>4.3372500000000009</v>
      </c>
      <c r="S8">
        <f>MAX(P8:R8)</f>
        <v>4.7504200000000019</v>
      </c>
    </row>
    <row r="9" spans="1:19" x14ac:dyDescent="0.25">
      <c r="A9" t="s">
        <v>13</v>
      </c>
      <c r="B9" t="s">
        <v>5</v>
      </c>
      <c r="C9" t="s">
        <v>6</v>
      </c>
      <c r="D9">
        <v>0</v>
      </c>
      <c r="E9" t="s">
        <v>7</v>
      </c>
      <c r="G9" t="s">
        <v>13</v>
      </c>
      <c r="H9">
        <v>26.0532</v>
      </c>
      <c r="I9">
        <v>0.81331419999999999</v>
      </c>
      <c r="J9">
        <v>2</v>
      </c>
      <c r="K9">
        <v>10</v>
      </c>
    </row>
    <row r="10" spans="1:19" x14ac:dyDescent="0.25">
      <c r="A10" t="s">
        <v>14</v>
      </c>
      <c r="B10">
        <v>27.705829999999999</v>
      </c>
      <c r="C10">
        <v>0.45161820000000003</v>
      </c>
      <c r="D10">
        <v>6</v>
      </c>
      <c r="E10">
        <v>3.3333330000000001</v>
      </c>
      <c r="G10" t="s">
        <v>14</v>
      </c>
      <c r="H10">
        <v>27.131519999999998</v>
      </c>
      <c r="I10">
        <v>0.62597800000000003</v>
      </c>
      <c r="J10">
        <v>6</v>
      </c>
      <c r="K10">
        <v>3.3333330000000001</v>
      </c>
      <c r="M10">
        <f t="shared" si="0"/>
        <v>-0.57431000000000054</v>
      </c>
    </row>
    <row r="11" spans="1:19" x14ac:dyDescent="0.25">
      <c r="A11" t="s">
        <v>15</v>
      </c>
      <c r="B11">
        <v>24.033329999999999</v>
      </c>
      <c r="C11">
        <v>0.57735029999999998</v>
      </c>
      <c r="D11">
        <v>3</v>
      </c>
      <c r="E11">
        <v>6.6666670000000003</v>
      </c>
      <c r="G11" t="s">
        <v>15</v>
      </c>
      <c r="H11">
        <v>26.76707</v>
      </c>
      <c r="I11">
        <v>0.2051471</v>
      </c>
      <c r="J11">
        <v>3</v>
      </c>
      <c r="K11">
        <v>6.6666670000000003</v>
      </c>
      <c r="M11">
        <f t="shared" si="0"/>
        <v>2.7337400000000009</v>
      </c>
    </row>
    <row r="12" spans="1:19" x14ac:dyDescent="0.25">
      <c r="A12" t="s">
        <v>16</v>
      </c>
      <c r="B12">
        <v>29.151150000000001</v>
      </c>
      <c r="C12" t="s">
        <v>6</v>
      </c>
      <c r="D12">
        <v>1</v>
      </c>
      <c r="E12">
        <v>20</v>
      </c>
      <c r="G12" t="s">
        <v>16</v>
      </c>
      <c r="H12" s="1">
        <v>30.83263333</v>
      </c>
      <c r="I12" t="s">
        <v>6</v>
      </c>
      <c r="J12">
        <v>1</v>
      </c>
      <c r="K12">
        <v>20</v>
      </c>
      <c r="M12">
        <f t="shared" si="0"/>
        <v>1.6814833299999989</v>
      </c>
    </row>
    <row r="13" spans="1:19" x14ac:dyDescent="0.25">
      <c r="A13" t="s">
        <v>17</v>
      </c>
      <c r="B13">
        <v>27</v>
      </c>
      <c r="C13" t="s">
        <v>6</v>
      </c>
      <c r="D13">
        <v>1</v>
      </c>
      <c r="E13">
        <v>20</v>
      </c>
      <c r="G13" t="s">
        <v>17</v>
      </c>
      <c r="H13">
        <v>25.9497</v>
      </c>
      <c r="I13" t="s">
        <v>6</v>
      </c>
      <c r="J13">
        <v>1</v>
      </c>
      <c r="K13">
        <v>20</v>
      </c>
      <c r="M13">
        <f t="shared" si="0"/>
        <v>-1.0503</v>
      </c>
    </row>
    <row r="14" spans="1:19" x14ac:dyDescent="0.25">
      <c r="A14" t="s">
        <v>18</v>
      </c>
      <c r="B14">
        <v>26.5</v>
      </c>
      <c r="C14" t="s">
        <v>6</v>
      </c>
      <c r="D14">
        <v>1</v>
      </c>
      <c r="E14">
        <v>20</v>
      </c>
      <c r="G14" t="s">
        <v>18</v>
      </c>
      <c r="H14">
        <v>26.7852</v>
      </c>
      <c r="I14" t="s">
        <v>6</v>
      </c>
      <c r="J14">
        <v>1</v>
      </c>
      <c r="K14">
        <v>20</v>
      </c>
      <c r="M14">
        <f t="shared" si="0"/>
        <v>0.28519999999999968</v>
      </c>
    </row>
    <row r="15" spans="1:19" x14ac:dyDescent="0.25">
      <c r="A15" t="s">
        <v>19</v>
      </c>
      <c r="B15">
        <v>24.42</v>
      </c>
      <c r="C15" t="s">
        <v>6</v>
      </c>
      <c r="D15">
        <v>1</v>
      </c>
      <c r="E15">
        <v>20</v>
      </c>
      <c r="G15" t="s">
        <v>19</v>
      </c>
      <c r="H15">
        <v>25.757100000000001</v>
      </c>
      <c r="I15" t="s">
        <v>6</v>
      </c>
      <c r="J15">
        <v>1</v>
      </c>
      <c r="K15">
        <v>20</v>
      </c>
      <c r="M15">
        <f t="shared" si="0"/>
        <v>1.3370999999999995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A7" sqref="A7:XFD7"/>
    </sheetView>
  </sheetViews>
  <sheetFormatPr defaultColWidth="11" defaultRowHeight="15.75" x14ac:dyDescent="0.25"/>
  <sheetData>
    <row r="1" spans="1:16" x14ac:dyDescent="0.25">
      <c r="A1" t="s">
        <v>21</v>
      </c>
      <c r="G1" t="s">
        <v>22</v>
      </c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6" x14ac:dyDescent="0.25">
      <c r="A3" t="s">
        <v>4</v>
      </c>
      <c r="B3" t="s">
        <v>5</v>
      </c>
      <c r="C3" t="s">
        <v>6</v>
      </c>
      <c r="D3">
        <v>0</v>
      </c>
      <c r="E3" t="s">
        <v>7</v>
      </c>
      <c r="G3" t="s">
        <v>4</v>
      </c>
      <c r="H3" t="s">
        <v>5</v>
      </c>
      <c r="I3" t="s">
        <v>6</v>
      </c>
      <c r="J3">
        <v>0</v>
      </c>
      <c r="K3" t="s">
        <v>7</v>
      </c>
    </row>
    <row r="4" spans="1:16" x14ac:dyDescent="0.25">
      <c r="A4" t="s">
        <v>8</v>
      </c>
      <c r="B4" t="s">
        <v>5</v>
      </c>
      <c r="C4" t="s">
        <v>6</v>
      </c>
      <c r="D4">
        <v>0</v>
      </c>
      <c r="E4" t="s">
        <v>7</v>
      </c>
      <c r="G4" t="s">
        <v>8</v>
      </c>
      <c r="H4" t="s">
        <v>5</v>
      </c>
      <c r="I4" t="s">
        <v>6</v>
      </c>
      <c r="J4">
        <v>0</v>
      </c>
      <c r="K4" t="s">
        <v>7</v>
      </c>
    </row>
    <row r="5" spans="1:16" x14ac:dyDescent="0.25">
      <c r="A5" t="s">
        <v>9</v>
      </c>
      <c r="B5">
        <v>22.033329999999999</v>
      </c>
      <c r="C5">
        <v>0.88459030000000005</v>
      </c>
      <c r="D5">
        <v>9</v>
      </c>
      <c r="E5">
        <v>4.4444439999999998</v>
      </c>
      <c r="G5" t="s">
        <v>9</v>
      </c>
      <c r="H5">
        <v>26.685089999999999</v>
      </c>
      <c r="I5">
        <v>1.3137665999999999</v>
      </c>
      <c r="J5">
        <v>9</v>
      </c>
      <c r="K5">
        <v>4.4444439999999998</v>
      </c>
      <c r="M5">
        <f t="shared" ref="M5:M15" si="0">H5-B5</f>
        <v>4.6517599999999995</v>
      </c>
    </row>
    <row r="6" spans="1:16" x14ac:dyDescent="0.25">
      <c r="A6" t="s">
        <v>10</v>
      </c>
      <c r="B6">
        <v>19.847059999999999</v>
      </c>
      <c r="C6">
        <v>1.77416095</v>
      </c>
      <c r="D6">
        <v>17</v>
      </c>
      <c r="E6">
        <v>2.3529409999999999</v>
      </c>
      <c r="G6" t="s">
        <v>10</v>
      </c>
      <c r="H6">
        <v>24.21809</v>
      </c>
      <c r="I6">
        <v>2.8739498000000001</v>
      </c>
      <c r="J6">
        <v>17</v>
      </c>
      <c r="K6">
        <v>2.3529409999999999</v>
      </c>
      <c r="M6">
        <f t="shared" si="0"/>
        <v>4.3710300000000011</v>
      </c>
    </row>
    <row r="7" spans="1:16" x14ac:dyDescent="0.25">
      <c r="A7" t="s">
        <v>11</v>
      </c>
      <c r="B7">
        <v>25.004000000000001</v>
      </c>
      <c r="C7">
        <v>0.80565500999999995</v>
      </c>
      <c r="D7">
        <v>5</v>
      </c>
      <c r="E7">
        <v>8</v>
      </c>
      <c r="G7" t="s">
        <v>11</v>
      </c>
      <c r="H7">
        <v>24.624739999999999</v>
      </c>
      <c r="I7">
        <v>0.96165520000000004</v>
      </c>
      <c r="J7">
        <v>5</v>
      </c>
      <c r="K7">
        <v>8</v>
      </c>
      <c r="M7">
        <f t="shared" si="0"/>
        <v>-0.37926000000000215</v>
      </c>
      <c r="P7">
        <f>MIN(M:M)</f>
        <v>-1.0503</v>
      </c>
    </row>
    <row r="8" spans="1:16" x14ac:dyDescent="0.25">
      <c r="A8" t="s">
        <v>12</v>
      </c>
      <c r="B8">
        <v>13.934290000000001</v>
      </c>
      <c r="C8">
        <v>0.86790661999999996</v>
      </c>
      <c r="D8">
        <v>7</v>
      </c>
      <c r="E8">
        <v>5.7142860000000004</v>
      </c>
      <c r="G8" t="s">
        <v>12</v>
      </c>
      <c r="H8">
        <v>16.141459999999999</v>
      </c>
      <c r="I8">
        <v>1.4123626</v>
      </c>
      <c r="J8">
        <v>7</v>
      </c>
      <c r="K8">
        <v>5.7142860000000004</v>
      </c>
      <c r="M8">
        <f t="shared" si="0"/>
        <v>2.2071699999999979</v>
      </c>
      <c r="P8">
        <f>MAX(M:M)</f>
        <v>4.6517599999999995</v>
      </c>
    </row>
    <row r="9" spans="1:16" x14ac:dyDescent="0.25">
      <c r="A9" t="s">
        <v>13</v>
      </c>
      <c r="B9" t="s">
        <v>5</v>
      </c>
      <c r="C9" t="s">
        <v>6</v>
      </c>
      <c r="D9">
        <v>0</v>
      </c>
      <c r="E9" t="s">
        <v>7</v>
      </c>
      <c r="G9" t="s">
        <v>13</v>
      </c>
      <c r="H9">
        <v>24.995229999999999</v>
      </c>
      <c r="I9">
        <v>1.3374185000000001</v>
      </c>
      <c r="J9">
        <v>4</v>
      </c>
      <c r="K9">
        <v>10</v>
      </c>
    </row>
    <row r="10" spans="1:16" x14ac:dyDescent="0.25">
      <c r="A10" t="s">
        <v>14</v>
      </c>
      <c r="B10">
        <v>27.741800000000001</v>
      </c>
      <c r="C10">
        <v>0.45473089</v>
      </c>
      <c r="D10">
        <v>10</v>
      </c>
      <c r="E10">
        <v>4</v>
      </c>
      <c r="G10" t="s">
        <v>14</v>
      </c>
      <c r="H10">
        <v>27.180029999999999</v>
      </c>
      <c r="I10">
        <v>0.63524049999999999</v>
      </c>
      <c r="J10">
        <v>10</v>
      </c>
      <c r="K10">
        <v>4</v>
      </c>
      <c r="M10">
        <f t="shared" si="0"/>
        <v>-0.56177000000000277</v>
      </c>
    </row>
    <row r="11" spans="1:16" x14ac:dyDescent="0.25">
      <c r="A11" t="s">
        <v>15</v>
      </c>
      <c r="B11">
        <v>23.55</v>
      </c>
      <c r="C11">
        <v>0.90719346999999995</v>
      </c>
      <c r="D11">
        <v>6</v>
      </c>
      <c r="E11">
        <v>6.6666670000000003</v>
      </c>
      <c r="G11" t="s">
        <v>15</v>
      </c>
      <c r="H11">
        <v>26.252649999999999</v>
      </c>
      <c r="I11">
        <v>0.82729129999999995</v>
      </c>
      <c r="J11">
        <v>6</v>
      </c>
      <c r="K11">
        <v>6.6666670000000003</v>
      </c>
      <c r="M11">
        <f t="shared" si="0"/>
        <v>2.7026499999999984</v>
      </c>
    </row>
    <row r="12" spans="1:16" x14ac:dyDescent="0.25">
      <c r="A12" t="s">
        <v>16</v>
      </c>
      <c r="B12">
        <v>29.297809999999998</v>
      </c>
      <c r="C12">
        <v>0.22494148999999999</v>
      </c>
      <c r="D12">
        <v>4</v>
      </c>
      <c r="E12">
        <v>10</v>
      </c>
      <c r="G12" t="s">
        <v>16</v>
      </c>
      <c r="H12">
        <v>30.456420000000001</v>
      </c>
      <c r="I12">
        <v>0.29267339999999997</v>
      </c>
      <c r="J12">
        <v>4</v>
      </c>
      <c r="K12">
        <v>10</v>
      </c>
      <c r="M12">
        <f t="shared" si="0"/>
        <v>1.158610000000003</v>
      </c>
    </row>
    <row r="13" spans="1:16" x14ac:dyDescent="0.25">
      <c r="A13" t="s">
        <v>17</v>
      </c>
      <c r="B13">
        <v>27</v>
      </c>
      <c r="C13" t="s">
        <v>6</v>
      </c>
      <c r="D13">
        <v>1</v>
      </c>
      <c r="E13">
        <v>40</v>
      </c>
      <c r="G13" t="s">
        <v>17</v>
      </c>
      <c r="H13">
        <v>25.9497</v>
      </c>
      <c r="I13" t="s">
        <v>6</v>
      </c>
      <c r="J13">
        <v>1</v>
      </c>
      <c r="K13">
        <v>40</v>
      </c>
      <c r="M13">
        <f t="shared" si="0"/>
        <v>-1.0503</v>
      </c>
    </row>
    <row r="14" spans="1:16" x14ac:dyDescent="0.25">
      <c r="A14" t="s">
        <v>18</v>
      </c>
      <c r="B14">
        <v>26.45</v>
      </c>
      <c r="C14">
        <v>7.0710679999999998E-2</v>
      </c>
      <c r="D14">
        <v>2</v>
      </c>
      <c r="E14">
        <v>20</v>
      </c>
      <c r="G14" t="s">
        <v>18</v>
      </c>
      <c r="H14">
        <v>26.732749999999999</v>
      </c>
      <c r="I14">
        <v>7.4175500000000005E-2</v>
      </c>
      <c r="J14">
        <v>2</v>
      </c>
      <c r="K14">
        <v>20</v>
      </c>
      <c r="M14">
        <f t="shared" si="0"/>
        <v>0.28275000000000006</v>
      </c>
    </row>
    <row r="15" spans="1:16" x14ac:dyDescent="0.25">
      <c r="A15" t="s">
        <v>19</v>
      </c>
      <c r="B15">
        <v>24.47</v>
      </c>
      <c r="C15">
        <v>7.0710679999999998E-2</v>
      </c>
      <c r="D15">
        <v>2</v>
      </c>
      <c r="E15">
        <v>20</v>
      </c>
      <c r="G15" t="s">
        <v>19</v>
      </c>
      <c r="H15">
        <v>25.836649999999999</v>
      </c>
      <c r="I15">
        <v>0.1125007</v>
      </c>
      <c r="J15">
        <v>2</v>
      </c>
      <c r="K15">
        <v>20</v>
      </c>
      <c r="M15">
        <f t="shared" si="0"/>
        <v>1.3666499999999999</v>
      </c>
    </row>
    <row r="16" spans="1:16" x14ac:dyDescent="0.25">
      <c r="G1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workbookViewId="0">
      <selection activeCell="H8" sqref="H8"/>
    </sheetView>
  </sheetViews>
  <sheetFormatPr defaultColWidth="11" defaultRowHeight="15.75" x14ac:dyDescent="0.25"/>
  <sheetData>
    <row r="1" spans="1:16" x14ac:dyDescent="0.25">
      <c r="A1" t="s">
        <v>21</v>
      </c>
      <c r="G1" t="s">
        <v>22</v>
      </c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6" x14ac:dyDescent="0.25">
      <c r="A3" t="s">
        <v>4</v>
      </c>
      <c r="B3">
        <v>14.731579999999999</v>
      </c>
      <c r="C3">
        <v>0.81107110000000004</v>
      </c>
      <c r="D3">
        <v>19</v>
      </c>
      <c r="E3">
        <v>12.578946999999999</v>
      </c>
      <c r="G3" t="s">
        <v>4</v>
      </c>
      <c r="H3">
        <v>15.49869</v>
      </c>
      <c r="I3">
        <v>1.2259666</v>
      </c>
      <c r="J3">
        <v>19</v>
      </c>
      <c r="K3">
        <v>12.578946999999999</v>
      </c>
      <c r="M3">
        <f>H3-B3</f>
        <v>0.76711000000000062</v>
      </c>
    </row>
    <row r="4" spans="1:16" x14ac:dyDescent="0.25">
      <c r="A4" t="s">
        <v>8</v>
      </c>
      <c r="B4">
        <v>15.125</v>
      </c>
      <c r="C4">
        <v>0.59511899999999995</v>
      </c>
      <c r="D4">
        <v>4</v>
      </c>
      <c r="E4">
        <v>59.75</v>
      </c>
      <c r="G4" t="s">
        <v>8</v>
      </c>
      <c r="H4">
        <v>17.520479999999999</v>
      </c>
      <c r="I4">
        <v>0.90298690000000004</v>
      </c>
      <c r="J4">
        <v>4</v>
      </c>
      <c r="K4">
        <v>59.75</v>
      </c>
      <c r="M4">
        <f t="shared" ref="M4:M15" si="0">H4-B4</f>
        <v>2.3954799999999992</v>
      </c>
    </row>
    <row r="5" spans="1:16" x14ac:dyDescent="0.25">
      <c r="A5" t="s">
        <v>9</v>
      </c>
      <c r="B5">
        <v>20.618179999999999</v>
      </c>
      <c r="C5">
        <v>1.2531098000000001</v>
      </c>
      <c r="D5">
        <v>33</v>
      </c>
      <c r="E5">
        <v>7.2424239999999998</v>
      </c>
      <c r="G5" t="s">
        <v>9</v>
      </c>
      <c r="H5">
        <v>24.527170000000002</v>
      </c>
      <c r="I5">
        <v>1.895791</v>
      </c>
      <c r="J5">
        <v>33</v>
      </c>
      <c r="K5">
        <v>7.2424239999999998</v>
      </c>
      <c r="M5">
        <f t="shared" si="0"/>
        <v>3.9089900000000029</v>
      </c>
    </row>
    <row r="6" spans="1:16" x14ac:dyDescent="0.25">
      <c r="A6" t="s">
        <v>10</v>
      </c>
      <c r="B6">
        <v>19.78462</v>
      </c>
      <c r="C6">
        <v>1.6730073999999999</v>
      </c>
      <c r="D6">
        <v>26</v>
      </c>
      <c r="E6">
        <v>9.1923080000000006</v>
      </c>
      <c r="G6" t="s">
        <v>10</v>
      </c>
      <c r="H6">
        <v>24.121870000000001</v>
      </c>
      <c r="I6">
        <v>2.7042576</v>
      </c>
      <c r="J6">
        <v>26</v>
      </c>
      <c r="K6">
        <v>9.1923080000000006</v>
      </c>
      <c r="M6">
        <f t="shared" si="0"/>
        <v>4.3372500000000009</v>
      </c>
    </row>
    <row r="7" spans="1:16" x14ac:dyDescent="0.25">
      <c r="A7" t="s">
        <v>11</v>
      </c>
      <c r="B7">
        <v>24.267199999999999</v>
      </c>
      <c r="C7">
        <v>1.0614226</v>
      </c>
      <c r="D7">
        <v>42</v>
      </c>
      <c r="E7">
        <v>5.6904760000000003</v>
      </c>
      <c r="G7" t="s">
        <v>11</v>
      </c>
      <c r="H7">
        <v>23.732230000000001</v>
      </c>
      <c r="I7">
        <v>1.2766009</v>
      </c>
      <c r="J7">
        <v>42</v>
      </c>
      <c r="K7">
        <v>5.6904760000000003</v>
      </c>
      <c r="M7">
        <f t="shared" si="0"/>
        <v>-0.53496999999999773</v>
      </c>
      <c r="P7">
        <f>MIN(M:M)</f>
        <v>-1.0482300000000002</v>
      </c>
    </row>
    <row r="8" spans="1:16" x14ac:dyDescent="0.25">
      <c r="A8" t="s">
        <v>12</v>
      </c>
      <c r="B8">
        <v>13.99137</v>
      </c>
      <c r="C8">
        <v>1.8742445000000001</v>
      </c>
      <c r="D8">
        <v>73</v>
      </c>
      <c r="E8">
        <v>3.2739729999999998</v>
      </c>
      <c r="G8" t="s">
        <v>12</v>
      </c>
      <c r="H8">
        <v>16.216619999999999</v>
      </c>
      <c r="I8">
        <v>3.0324773999999999</v>
      </c>
      <c r="J8">
        <v>73</v>
      </c>
      <c r="K8">
        <v>3.2739729999999998</v>
      </c>
      <c r="M8">
        <f t="shared" si="0"/>
        <v>2.2252499999999991</v>
      </c>
      <c r="P8">
        <f>MAX(M:M)</f>
        <v>4.3372500000000009</v>
      </c>
    </row>
    <row r="9" spans="1:16" x14ac:dyDescent="0.25">
      <c r="A9" t="s">
        <v>13</v>
      </c>
      <c r="B9" t="s">
        <v>5</v>
      </c>
      <c r="C9" t="s">
        <v>6</v>
      </c>
      <c r="D9">
        <v>0</v>
      </c>
      <c r="E9" t="s">
        <v>7</v>
      </c>
      <c r="G9" t="s">
        <v>13</v>
      </c>
      <c r="H9">
        <v>25.066459999999999</v>
      </c>
      <c r="I9">
        <v>0.8558154</v>
      </c>
      <c r="J9">
        <v>9</v>
      </c>
      <c r="K9">
        <v>26.555555999999999</v>
      </c>
    </row>
    <row r="10" spans="1:16" x14ac:dyDescent="0.25">
      <c r="A10" t="s">
        <v>14</v>
      </c>
      <c r="B10">
        <v>27.571069999999999</v>
      </c>
      <c r="C10">
        <v>0.70250420000000002</v>
      </c>
      <c r="D10">
        <v>85</v>
      </c>
      <c r="E10">
        <v>2.8117649999999998</v>
      </c>
      <c r="G10" t="s">
        <v>14</v>
      </c>
      <c r="H10">
        <v>26.932960000000001</v>
      </c>
      <c r="I10">
        <v>0.97672230000000004</v>
      </c>
      <c r="J10">
        <v>85</v>
      </c>
      <c r="K10">
        <v>2.8117649999999998</v>
      </c>
      <c r="M10">
        <f t="shared" si="0"/>
        <v>-0.63810999999999751</v>
      </c>
    </row>
    <row r="11" spans="1:16" x14ac:dyDescent="0.25">
      <c r="A11" t="s">
        <v>15</v>
      </c>
      <c r="B11">
        <v>24.087499999999999</v>
      </c>
      <c r="C11">
        <v>0.6377796</v>
      </c>
      <c r="D11">
        <v>40</v>
      </c>
      <c r="E11">
        <v>5.9749999999999996</v>
      </c>
      <c r="G11" t="s">
        <v>15</v>
      </c>
      <c r="H11">
        <v>26.672509999999999</v>
      </c>
      <c r="I11">
        <v>0.71298799999999996</v>
      </c>
      <c r="J11">
        <v>40</v>
      </c>
      <c r="K11">
        <v>5.9749999999999996</v>
      </c>
      <c r="M11">
        <f t="shared" si="0"/>
        <v>2.5850100000000005</v>
      </c>
    </row>
    <row r="12" spans="1:16" x14ac:dyDescent="0.25">
      <c r="A12" t="s">
        <v>16</v>
      </c>
      <c r="B12">
        <v>28.358319999999999</v>
      </c>
      <c r="C12">
        <v>0.59477930000000001</v>
      </c>
      <c r="D12">
        <v>54</v>
      </c>
      <c r="E12">
        <v>4.4259259999999996</v>
      </c>
      <c r="G12" t="s">
        <v>16</v>
      </c>
      <c r="H12">
        <v>28.4937</v>
      </c>
      <c r="I12">
        <v>1.1671951</v>
      </c>
      <c r="J12">
        <v>54</v>
      </c>
      <c r="K12">
        <v>4.4259259999999996</v>
      </c>
      <c r="M12">
        <f t="shared" si="0"/>
        <v>0.13538000000000139</v>
      </c>
    </row>
    <row r="13" spans="1:16" x14ac:dyDescent="0.25">
      <c r="A13" t="s">
        <v>17</v>
      </c>
      <c r="B13">
        <v>27.05</v>
      </c>
      <c r="C13">
        <v>0.1914854</v>
      </c>
      <c r="D13">
        <v>4</v>
      </c>
      <c r="E13">
        <v>59.75</v>
      </c>
      <c r="G13" t="s">
        <v>17</v>
      </c>
      <c r="H13">
        <v>26.00177</v>
      </c>
      <c r="I13">
        <v>0.29430709999999999</v>
      </c>
      <c r="J13">
        <v>4</v>
      </c>
      <c r="K13">
        <v>59.75</v>
      </c>
      <c r="M13">
        <f t="shared" si="0"/>
        <v>-1.0482300000000002</v>
      </c>
    </row>
    <row r="14" spans="1:16" x14ac:dyDescent="0.25">
      <c r="A14" t="s">
        <v>18</v>
      </c>
      <c r="B14">
        <v>26.475999999999999</v>
      </c>
      <c r="C14">
        <v>0.28472209999999998</v>
      </c>
      <c r="D14">
        <v>25</v>
      </c>
      <c r="E14">
        <v>9.56</v>
      </c>
      <c r="G14" t="s">
        <v>18</v>
      </c>
      <c r="H14">
        <v>26.801659999999998</v>
      </c>
      <c r="I14">
        <v>0.49434980000000001</v>
      </c>
      <c r="J14">
        <v>25</v>
      </c>
      <c r="K14">
        <v>9.56</v>
      </c>
      <c r="M14">
        <f t="shared" si="0"/>
        <v>0.32565999999999917</v>
      </c>
    </row>
    <row r="15" spans="1:16" x14ac:dyDescent="0.25">
      <c r="A15" t="s">
        <v>19</v>
      </c>
      <c r="B15">
        <v>24.443200000000001</v>
      </c>
      <c r="C15">
        <v>0.54424039999999996</v>
      </c>
      <c r="D15">
        <v>25</v>
      </c>
      <c r="E15">
        <v>9.56</v>
      </c>
      <c r="G15" t="s">
        <v>19</v>
      </c>
      <c r="H15">
        <v>25.791640000000001</v>
      </c>
      <c r="I15">
        <v>0.79250299999999996</v>
      </c>
      <c r="J15">
        <v>25</v>
      </c>
      <c r="K15">
        <v>9.56</v>
      </c>
      <c r="M15">
        <f t="shared" si="0"/>
        <v>1.3484400000000001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Julia Tindall</cp:lastModifiedBy>
  <dcterms:created xsi:type="dcterms:W3CDTF">2019-10-08T08:58:52Z</dcterms:created>
  <dcterms:modified xsi:type="dcterms:W3CDTF">2020-11-02T17:14:35Z</dcterms:modified>
</cp:coreProperties>
</file>